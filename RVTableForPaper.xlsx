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cbonk/Desktop/School/Detour 2.0/"/>
    </mc:Choice>
  </mc:AlternateContent>
  <xr:revisionPtr revIDLastSave="0" documentId="13_ncr:1_{24E82AC1-BA32-4041-9259-DC79AC353965}" xr6:coauthVersionLast="47" xr6:coauthVersionMax="47" xr10:uidLastSave="{00000000-0000-0000-0000-000000000000}"/>
  <bookViews>
    <workbookView xWindow="14060" yWindow="1120" windowWidth="20420" windowHeight="14320" activeTab="1" xr2:uid="{00000000-000D-0000-FFFF-FFFF00000000}"/>
  </bookViews>
  <sheets>
    <sheet name="Sheet1" sheetId="1" r:id="rId1"/>
    <sheet name="Consistency and Accuracy table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 a="1"/>
  <c r="S2" i="2" s="1"/>
  <c r="E14" i="2"/>
  <c r="E9" i="2"/>
  <c r="F2" i="2" a="1"/>
  <c r="F2" i="2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<sst xmlns="http://schemas.openxmlformats.org/spreadsheetml/2006/main" count="131" uniqueCount="41">
  <si>
    <t>Method</t>
  </si>
  <si>
    <t>Observation</t>
  </si>
  <si>
    <t>P_Value</t>
  </si>
  <si>
    <t>Relationship</t>
  </si>
  <si>
    <t>12S-EF</t>
  </si>
  <si>
    <t>12S-GN</t>
  </si>
  <si>
    <t>12S-HN</t>
  </si>
  <si>
    <t>12S-MT</t>
  </si>
  <si>
    <t>12S-SN</t>
  </si>
  <si>
    <t>COI-EF</t>
  </si>
  <si>
    <t>COI-GN</t>
  </si>
  <si>
    <t>COI-HN</t>
  </si>
  <si>
    <t>COI-MT</t>
  </si>
  <si>
    <t>COI-SN</t>
  </si>
  <si>
    <t>EF-GN</t>
  </si>
  <si>
    <t>EF-HN</t>
  </si>
  <si>
    <t>EF-MT</t>
  </si>
  <si>
    <t>EF-SN</t>
  </si>
  <si>
    <t>HN-GN</t>
  </si>
  <si>
    <t>HN-MT</t>
  </si>
  <si>
    <t>HN-SN</t>
  </si>
  <si>
    <t>SN-GN</t>
  </si>
  <si>
    <t>SN-MT</t>
  </si>
  <si>
    <t>MT-GN</t>
  </si>
  <si>
    <t>Variable</t>
  </si>
  <si>
    <t>Consistency</t>
  </si>
  <si>
    <t>Consistency_Lower</t>
  </si>
  <si>
    <t>Consistency_Upper</t>
  </si>
  <si>
    <t>Accuracy</t>
  </si>
  <si>
    <t>Accuracy_Lower</t>
  </si>
  <si>
    <t>Accuracy_Upper</t>
  </si>
  <si>
    <t> All Methods</t>
  </si>
  <si>
    <t>eDNA-EF,GN,HN,MT</t>
  </si>
  <si>
    <t>eDNA-EF,GN,HN</t>
  </si>
  <si>
    <t>eDNA-EF,MT</t>
  </si>
  <si>
    <t>eDNA-EF,MT, SN</t>
  </si>
  <si>
    <t>eDNA-EF,GN</t>
  </si>
  <si>
    <t>eDNA-GN,HN,SN</t>
  </si>
  <si>
    <t>eDNA-GN,HN,MT</t>
  </si>
  <si>
    <t>eDNA-GN,HN</t>
  </si>
  <si>
    <t>eDNA-GN,MT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</si>
</sst>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F2" sqref="F2:G21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">
      <c r="A2" t="s">
        <v>4</v>
      </c>
      <c r="B2">
        <v>0.13444732527981179</v>
      </c>
      <c r="C2">
        <v>0.18581418581418579</v>
      </c>
      <c r="D2" t="s">
        <v>4</v>
      </c>
      <c r="F2" cm="1">
        <f t="array" ref="F2:G21">ROUND(B2:C21,3)</f>
        <v>0.13400000000000001</v>
      </c>
      <c r="G2">
        <v>0.186</v>
      </c>
    </row>
    <row r="3" spans="1:7" x14ac:dyDescent="0.2">
      <c r="A3" t="s">
        <v>5</v>
      </c>
      <c r="B3">
        <v>0.92612566664286888</v>
      </c>
      <c r="C3">
        <v>6.993006993006993E-3</v>
      </c>
      <c r="D3" t="s">
        <v>5</v>
      </c>
      <c r="F3">
        <v>0.92600000000000005</v>
      </c>
      <c r="G3">
        <v>7.0000000000000001E-3</v>
      </c>
    </row>
    <row r="4" spans="1:7" x14ac:dyDescent="0.2">
      <c r="A4" t="s">
        <v>6</v>
      </c>
      <c r="B4">
        <v>0.75027182532495029</v>
      </c>
      <c r="C4">
        <v>1.998001998001998E-2</v>
      </c>
      <c r="D4" t="s">
        <v>6</v>
      </c>
      <c r="F4">
        <v>0.75</v>
      </c>
      <c r="G4">
        <v>0.02</v>
      </c>
    </row>
    <row r="5" spans="1:7" x14ac:dyDescent="0.2">
      <c r="A5" t="s">
        <v>7</v>
      </c>
      <c r="B5">
        <v>0.32560089215549542</v>
      </c>
      <c r="C5">
        <v>0.15584415584415581</v>
      </c>
      <c r="D5" t="s">
        <v>7</v>
      </c>
      <c r="F5">
        <v>0.32600000000000001</v>
      </c>
      <c r="G5">
        <v>0.156</v>
      </c>
    </row>
    <row r="6" spans="1:7" x14ac:dyDescent="0.2">
      <c r="A6" t="s">
        <v>8</v>
      </c>
      <c r="B6">
        <v>0.4398156321123855</v>
      </c>
      <c r="C6">
        <v>0.1158841158841159</v>
      </c>
      <c r="D6" t="s">
        <v>8</v>
      </c>
      <c r="F6">
        <v>0.44</v>
      </c>
      <c r="G6">
        <v>0.11600000000000001</v>
      </c>
    </row>
    <row r="7" spans="1:7" x14ac:dyDescent="0.2">
      <c r="A7" t="s">
        <v>9</v>
      </c>
      <c r="B7">
        <v>0.46043622103314991</v>
      </c>
      <c r="C7">
        <v>9.7902097902097904E-2</v>
      </c>
      <c r="D7" t="s">
        <v>9</v>
      </c>
      <c r="F7">
        <v>0.46</v>
      </c>
      <c r="G7">
        <v>9.8000000000000004E-2</v>
      </c>
    </row>
    <row r="8" spans="1:7" x14ac:dyDescent="0.2">
      <c r="A8" t="s">
        <v>10</v>
      </c>
      <c r="B8">
        <v>0.67678493842110221</v>
      </c>
      <c r="C8">
        <v>2.197802197802198E-2</v>
      </c>
      <c r="D8" t="s">
        <v>10</v>
      </c>
      <c r="F8">
        <v>0.67700000000000005</v>
      </c>
      <c r="G8">
        <v>2.1999999999999999E-2</v>
      </c>
    </row>
    <row r="9" spans="1:7" x14ac:dyDescent="0.2">
      <c r="A9" t="s">
        <v>11</v>
      </c>
      <c r="B9">
        <v>0.97014921712875013</v>
      </c>
      <c r="C9">
        <v>2.097902097902098E-2</v>
      </c>
      <c r="D9" t="s">
        <v>11</v>
      </c>
      <c r="F9">
        <v>0.97</v>
      </c>
      <c r="G9">
        <v>2.1000000000000001E-2</v>
      </c>
    </row>
    <row r="10" spans="1:7" x14ac:dyDescent="0.2">
      <c r="A10" t="s">
        <v>12</v>
      </c>
      <c r="B10">
        <v>0.3060553600275136</v>
      </c>
      <c r="C10">
        <v>0.15084915084915079</v>
      </c>
      <c r="D10" t="s">
        <v>12</v>
      </c>
      <c r="F10">
        <v>0.30599999999999999</v>
      </c>
      <c r="G10">
        <v>0.151</v>
      </c>
    </row>
    <row r="11" spans="1:7" x14ac:dyDescent="0.2">
      <c r="A11" t="s">
        <v>13</v>
      </c>
      <c r="B11">
        <v>0.61966793827616329</v>
      </c>
      <c r="C11">
        <v>4.195804195804196E-2</v>
      </c>
      <c r="D11" t="s">
        <v>13</v>
      </c>
      <c r="F11">
        <v>0.62</v>
      </c>
      <c r="G11">
        <v>4.2000000000000003E-2</v>
      </c>
    </row>
    <row r="12" spans="1:7" x14ac:dyDescent="0.2">
      <c r="A12" t="s">
        <v>14</v>
      </c>
      <c r="B12">
        <v>1.6187845715480771E-2</v>
      </c>
      <c r="C12">
        <v>0.98601398601398604</v>
      </c>
      <c r="D12" t="s">
        <v>14</v>
      </c>
      <c r="F12">
        <v>1.6E-2</v>
      </c>
      <c r="G12">
        <v>0.98599999999999999</v>
      </c>
    </row>
    <row r="13" spans="1:7" x14ac:dyDescent="0.2">
      <c r="A13" t="s">
        <v>15</v>
      </c>
      <c r="B13">
        <v>0.73712268615067522</v>
      </c>
      <c r="C13">
        <v>3.996003996003996E-2</v>
      </c>
      <c r="D13" t="s">
        <v>15</v>
      </c>
      <c r="F13">
        <v>0.73699999999999999</v>
      </c>
      <c r="G13">
        <v>0.04</v>
      </c>
    </row>
    <row r="14" spans="1:7" x14ac:dyDescent="0.2">
      <c r="A14" t="s">
        <v>16</v>
      </c>
      <c r="B14">
        <v>0.13363189393794581</v>
      </c>
      <c r="C14">
        <v>0.81218781218781222</v>
      </c>
      <c r="D14" t="s">
        <v>16</v>
      </c>
      <c r="F14">
        <v>0.13400000000000001</v>
      </c>
      <c r="G14">
        <v>0.81200000000000006</v>
      </c>
    </row>
    <row r="15" spans="1:7" x14ac:dyDescent="0.2">
      <c r="A15" t="s">
        <v>17</v>
      </c>
      <c r="B15">
        <v>0.78753602034473258</v>
      </c>
      <c r="C15">
        <v>0.31768231768231769</v>
      </c>
      <c r="D15" t="s">
        <v>17</v>
      </c>
      <c r="F15">
        <v>0.78800000000000003</v>
      </c>
      <c r="G15">
        <v>0.318</v>
      </c>
    </row>
    <row r="16" spans="1:7" x14ac:dyDescent="0.2">
      <c r="A16" t="s">
        <v>18</v>
      </c>
      <c r="B16">
        <v>0.20690900435892329</v>
      </c>
      <c r="C16">
        <v>0.2327672327672328</v>
      </c>
      <c r="D16" t="s">
        <v>18</v>
      </c>
      <c r="F16">
        <v>0.20699999999999999</v>
      </c>
      <c r="G16">
        <v>0.23300000000000001</v>
      </c>
    </row>
    <row r="17" spans="1:7" x14ac:dyDescent="0.2">
      <c r="A17" t="s">
        <v>19</v>
      </c>
      <c r="B17">
        <v>0.12598815766974239</v>
      </c>
      <c r="C17">
        <v>1</v>
      </c>
      <c r="D17" t="s">
        <v>19</v>
      </c>
      <c r="F17">
        <v>0.126</v>
      </c>
      <c r="G17">
        <v>1</v>
      </c>
    </row>
    <row r="18" spans="1:7" x14ac:dyDescent="0.2">
      <c r="A18" t="s">
        <v>20</v>
      </c>
      <c r="B18">
        <v>0.9787255342068848</v>
      </c>
      <c r="C18">
        <v>0.34965034965034958</v>
      </c>
      <c r="D18" t="s">
        <v>20</v>
      </c>
      <c r="F18">
        <v>0.97899999999999998</v>
      </c>
      <c r="G18">
        <v>0.35</v>
      </c>
    </row>
    <row r="19" spans="1:7" x14ac:dyDescent="0.2">
      <c r="A19" t="s">
        <v>21</v>
      </c>
      <c r="B19">
        <v>0.32021764193424201</v>
      </c>
      <c r="C19">
        <v>0.24775224775224769</v>
      </c>
      <c r="D19" t="s">
        <v>21</v>
      </c>
      <c r="F19">
        <v>0.32</v>
      </c>
      <c r="G19">
        <v>0.248</v>
      </c>
    </row>
    <row r="20" spans="1:7" x14ac:dyDescent="0.2">
      <c r="A20" t="s">
        <v>22</v>
      </c>
      <c r="B20">
        <v>0.10540925533894591</v>
      </c>
      <c r="C20">
        <v>0.81618381618381619</v>
      </c>
      <c r="D20" t="s">
        <v>22</v>
      </c>
      <c r="F20">
        <v>0.105</v>
      </c>
      <c r="G20">
        <v>0.81599999999999995</v>
      </c>
    </row>
    <row r="21" spans="1:7" x14ac:dyDescent="0.2">
      <c r="A21" t="s">
        <v>23</v>
      </c>
      <c r="B21">
        <v>0.41782082926431352</v>
      </c>
      <c r="C21">
        <v>0.14285714285714279</v>
      </c>
      <c r="D21" t="s">
        <v>23</v>
      </c>
      <c r="F21">
        <v>0.41799999999999998</v>
      </c>
      <c r="G21">
        <v>0.14299999999999999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333C-68B7-974F-9EF5-A5E4A0AC62BD}">
  <dimension ref="A1:U32"/>
  <sheetViews>
    <sheetView tabSelected="1" topLeftCell="L10" workbookViewId="0">
      <selection activeCell="P23" sqref="P23"/>
    </sheetView>
  </sheetViews>
  <sheetFormatPr baseColWidth="10" defaultRowHeight="15" x14ac:dyDescent="0.2"/>
  <sheetData>
    <row r="1" spans="1:21" x14ac:dyDescent="0.2">
      <c r="A1" s="2" t="s">
        <v>24</v>
      </c>
      <c r="B1" s="2" t="s">
        <v>25</v>
      </c>
      <c r="C1" s="2" t="s">
        <v>26</v>
      </c>
      <c r="D1" s="2" t="s">
        <v>27</v>
      </c>
      <c r="N1" s="2" t="s">
        <v>24</v>
      </c>
      <c r="O1" s="2" t="s">
        <v>28</v>
      </c>
      <c r="P1" s="2" t="s">
        <v>29</v>
      </c>
      <c r="Q1" s="2" t="s">
        <v>30</v>
      </c>
    </row>
    <row r="2" spans="1:21" x14ac:dyDescent="0.2">
      <c r="A2" s="3" t="s">
        <v>4</v>
      </c>
      <c r="B2" s="3">
        <v>0.32500000000000001</v>
      </c>
      <c r="C2" s="3">
        <v>0.19074487200000001</v>
      </c>
      <c r="D2" s="3">
        <v>0.49243100000000001</v>
      </c>
      <c r="F2" cm="1">
        <f t="array" ref="F2:H32">ROUND(B2:D32,3)</f>
        <v>0.32500000000000001</v>
      </c>
      <c r="G2">
        <v>0.191</v>
      </c>
      <c r="H2">
        <v>0.49199999999999999</v>
      </c>
      <c r="N2" s="3" t="s">
        <v>4</v>
      </c>
      <c r="O2" s="3">
        <v>0.3333333</v>
      </c>
      <c r="P2" s="3">
        <v>0.19594039999999999</v>
      </c>
      <c r="Q2" s="3">
        <v>0.50307360000000001</v>
      </c>
      <c r="S2" cm="1">
        <f t="array" ref="S2:U32">ROUND(O2:Q32,3)</f>
        <v>0.33300000000000002</v>
      </c>
      <c r="T2">
        <v>0.19600000000000001</v>
      </c>
      <c r="U2">
        <v>0.503</v>
      </c>
    </row>
    <row r="3" spans="1:21" x14ac:dyDescent="0.2">
      <c r="A3" s="3" t="s">
        <v>6</v>
      </c>
      <c r="B3" s="3">
        <v>0.15789474000000001</v>
      </c>
      <c r="C3" s="3">
        <v>6.5868911000000002E-2</v>
      </c>
      <c r="D3" s="3">
        <v>0.31927919999999999</v>
      </c>
      <c r="F3">
        <v>0.158</v>
      </c>
      <c r="G3">
        <v>6.6000000000000003E-2</v>
      </c>
      <c r="H3">
        <v>0.31900000000000001</v>
      </c>
      <c r="N3" s="3" t="s">
        <v>6</v>
      </c>
      <c r="O3" s="3">
        <v>0.1666667</v>
      </c>
      <c r="P3" s="3">
        <v>6.9633423999999999E-2</v>
      </c>
      <c r="Q3" s="3">
        <v>0.33470220000000001</v>
      </c>
      <c r="S3">
        <v>0.16700000000000001</v>
      </c>
      <c r="T3">
        <v>7.0000000000000007E-2</v>
      </c>
      <c r="U3">
        <v>0.33500000000000002</v>
      </c>
    </row>
    <row r="4" spans="1:21" x14ac:dyDescent="0.2">
      <c r="A4" s="3" t="s">
        <v>8</v>
      </c>
      <c r="B4" s="3">
        <v>0.36363635999999999</v>
      </c>
      <c r="C4" s="3">
        <v>0.123650813</v>
      </c>
      <c r="D4" s="3">
        <v>0.68386369999999996</v>
      </c>
      <c r="F4">
        <v>0.36399999999999999</v>
      </c>
      <c r="G4">
        <v>0.124</v>
      </c>
      <c r="H4">
        <v>0.68400000000000005</v>
      </c>
      <c r="N4" s="3" t="s">
        <v>8</v>
      </c>
      <c r="O4" s="3">
        <v>0.36363640000000003</v>
      </c>
      <c r="P4" s="3">
        <v>0.123650813</v>
      </c>
      <c r="Q4" s="3">
        <v>0.68386369999999996</v>
      </c>
      <c r="S4">
        <v>0.36399999999999999</v>
      </c>
      <c r="T4">
        <v>0.124</v>
      </c>
      <c r="U4">
        <v>0.68400000000000005</v>
      </c>
    </row>
    <row r="5" spans="1:21" x14ac:dyDescent="0.2">
      <c r="A5" s="3" t="s">
        <v>7</v>
      </c>
      <c r="B5" s="3">
        <v>0.16129031999999999</v>
      </c>
      <c r="C5" s="3">
        <v>6.0946685E-2</v>
      </c>
      <c r="D5" s="3">
        <v>0.34472710000000001</v>
      </c>
      <c r="F5">
        <v>0.161</v>
      </c>
      <c r="G5">
        <v>6.0999999999999999E-2</v>
      </c>
      <c r="H5">
        <v>0.34499999999999997</v>
      </c>
      <c r="N5" s="3" t="s">
        <v>7</v>
      </c>
      <c r="O5" s="3">
        <v>0.1612903</v>
      </c>
      <c r="P5" s="3">
        <v>6.0946685E-2</v>
      </c>
      <c r="Q5" s="3">
        <v>0.34472710000000001</v>
      </c>
      <c r="S5">
        <v>0.161</v>
      </c>
      <c r="T5">
        <v>6.0999999999999999E-2</v>
      </c>
      <c r="U5">
        <v>0.34499999999999997</v>
      </c>
    </row>
    <row r="6" spans="1:21" x14ac:dyDescent="0.2">
      <c r="A6" s="3" t="s">
        <v>5</v>
      </c>
      <c r="B6" s="3">
        <v>0.23333333000000001</v>
      </c>
      <c r="C6" s="3">
        <v>0.13778657999999999</v>
      </c>
      <c r="D6" s="3">
        <v>0.36336639999999998</v>
      </c>
      <c r="F6">
        <v>0.23300000000000001</v>
      </c>
      <c r="G6">
        <v>0.13800000000000001</v>
      </c>
      <c r="H6">
        <v>0.36299999999999999</v>
      </c>
      <c r="N6" s="3" t="s">
        <v>5</v>
      </c>
      <c r="O6" s="3">
        <v>0.26415090000000002</v>
      </c>
      <c r="P6" s="3">
        <v>0.15681968900000001</v>
      </c>
      <c r="Q6" s="3">
        <v>0.40578439999999999</v>
      </c>
      <c r="S6">
        <v>0.26400000000000001</v>
      </c>
      <c r="T6">
        <v>0.157</v>
      </c>
      <c r="U6">
        <v>0.40600000000000003</v>
      </c>
    </row>
    <row r="7" spans="1:21" x14ac:dyDescent="0.2">
      <c r="A7" s="3" t="s">
        <v>9</v>
      </c>
      <c r="B7" s="3">
        <v>0.21428570999999999</v>
      </c>
      <c r="C7" s="3">
        <v>9.0279269999999995E-2</v>
      </c>
      <c r="D7" s="3">
        <v>0.41462209999999999</v>
      </c>
      <c r="F7">
        <v>0.214</v>
      </c>
      <c r="G7">
        <v>0.09</v>
      </c>
      <c r="H7">
        <v>0.41499999999999998</v>
      </c>
      <c r="N7" s="3" t="s">
        <v>9</v>
      </c>
      <c r="O7" s="3">
        <v>0.3</v>
      </c>
      <c r="P7" s="3">
        <v>0.12839086299999999</v>
      </c>
      <c r="Q7" s="3">
        <v>0.54330710000000004</v>
      </c>
      <c r="S7">
        <v>0.3</v>
      </c>
      <c r="T7">
        <v>0.128</v>
      </c>
      <c r="U7">
        <v>0.54300000000000004</v>
      </c>
    </row>
    <row r="8" spans="1:21" x14ac:dyDescent="0.2">
      <c r="A8" s="3" t="s">
        <v>11</v>
      </c>
      <c r="B8" s="3">
        <v>0.3</v>
      </c>
      <c r="C8" s="3">
        <v>0.12839086299999999</v>
      </c>
      <c r="D8" s="3">
        <v>0.54330710000000004</v>
      </c>
      <c r="F8">
        <v>0.3</v>
      </c>
      <c r="G8">
        <v>0.128</v>
      </c>
      <c r="H8">
        <v>0.54300000000000004</v>
      </c>
      <c r="N8" s="3" t="s">
        <v>11</v>
      </c>
      <c r="O8" s="3">
        <v>0.3333333</v>
      </c>
      <c r="P8" s="3">
        <v>0.14356661600000001</v>
      </c>
      <c r="Q8" s="3">
        <v>0.58845199999999998</v>
      </c>
      <c r="S8">
        <v>0.33300000000000002</v>
      </c>
      <c r="T8">
        <v>0.14399999999999999</v>
      </c>
      <c r="U8">
        <v>0.58799999999999997</v>
      </c>
    </row>
    <row r="9" spans="1:21" x14ac:dyDescent="0.2">
      <c r="A9" s="3" t="s">
        <v>13</v>
      </c>
      <c r="B9" s="3">
        <v>0.66666667000000002</v>
      </c>
      <c r="C9" s="3">
        <v>0.24107821099999999</v>
      </c>
      <c r="D9" s="3">
        <v>0.94001029999999997</v>
      </c>
      <c r="E9">
        <f>AVERAGE(B2:B11)</f>
        <v>0.28943293600000003</v>
      </c>
      <c r="F9">
        <v>0.66700000000000004</v>
      </c>
      <c r="G9">
        <v>0.24099999999999999</v>
      </c>
      <c r="H9">
        <v>0.94</v>
      </c>
      <c r="N9" s="3" t="s">
        <v>13</v>
      </c>
      <c r="O9" s="3">
        <v>0.66666669999999995</v>
      </c>
      <c r="P9" s="3">
        <v>0.24107821099999999</v>
      </c>
      <c r="Q9" s="3">
        <v>0.94001029999999997</v>
      </c>
      <c r="S9">
        <v>0.66700000000000004</v>
      </c>
      <c r="T9">
        <v>0.24099999999999999</v>
      </c>
      <c r="U9">
        <v>0.94</v>
      </c>
    </row>
    <row r="10" spans="1:21" x14ac:dyDescent="0.2">
      <c r="A10" s="3" t="s">
        <v>12</v>
      </c>
      <c r="B10" s="3">
        <v>0.16666666999999999</v>
      </c>
      <c r="C10" s="3">
        <v>4.4069833000000003E-2</v>
      </c>
      <c r="D10" s="3">
        <v>0.42264750000000001</v>
      </c>
      <c r="F10">
        <v>0.16700000000000001</v>
      </c>
      <c r="G10">
        <v>4.3999999999999997E-2</v>
      </c>
      <c r="H10">
        <v>0.42299999999999999</v>
      </c>
      <c r="N10" s="3" t="s">
        <v>12</v>
      </c>
      <c r="O10" s="3">
        <v>0.1875</v>
      </c>
      <c r="P10" s="3">
        <v>4.9731256000000001E-2</v>
      </c>
      <c r="Q10" s="3">
        <v>0.4630766</v>
      </c>
      <c r="S10">
        <v>0.188</v>
      </c>
      <c r="T10">
        <v>0.05</v>
      </c>
      <c r="U10">
        <v>0.46300000000000002</v>
      </c>
    </row>
    <row r="11" spans="1:21" x14ac:dyDescent="0.2">
      <c r="A11" s="3" t="s">
        <v>10</v>
      </c>
      <c r="B11" s="3">
        <v>0.30555556</v>
      </c>
      <c r="C11" s="3">
        <v>0.16919400900000001</v>
      </c>
      <c r="D11" s="3">
        <v>0.48267670000000001</v>
      </c>
      <c r="F11">
        <v>0.30599999999999999</v>
      </c>
      <c r="G11">
        <v>0.16900000000000001</v>
      </c>
      <c r="H11">
        <v>0.48299999999999998</v>
      </c>
      <c r="N11" s="3" t="s">
        <v>10</v>
      </c>
      <c r="O11" s="3">
        <v>0.42307689999999998</v>
      </c>
      <c r="P11" s="3">
        <v>0.239743713</v>
      </c>
      <c r="Q11" s="3">
        <v>0.62808489999999995</v>
      </c>
      <c r="S11">
        <v>0.42299999999999999</v>
      </c>
      <c r="T11">
        <v>0.24</v>
      </c>
      <c r="U11">
        <v>0.628</v>
      </c>
    </row>
    <row r="12" spans="1:21" x14ac:dyDescent="0.2">
      <c r="A12" s="3" t="s">
        <v>15</v>
      </c>
      <c r="B12" s="3">
        <v>7.1428569999999997E-2</v>
      </c>
      <c r="C12" s="3">
        <v>3.7399249999999998E-3</v>
      </c>
      <c r="D12" s="3">
        <v>0.3583191</v>
      </c>
      <c r="F12">
        <v>7.0999999999999994E-2</v>
      </c>
      <c r="G12">
        <v>4.0000000000000001E-3</v>
      </c>
      <c r="H12">
        <v>0.35799999999999998</v>
      </c>
      <c r="N12" s="3" t="s">
        <v>15</v>
      </c>
      <c r="O12" s="3">
        <v>0.14285709999999999</v>
      </c>
      <c r="P12" s="3">
        <v>7.5028159999999998E-3</v>
      </c>
      <c r="Q12" s="3">
        <v>0.57992169999999998</v>
      </c>
      <c r="S12">
        <v>0.14299999999999999</v>
      </c>
      <c r="T12">
        <v>8.0000000000000002E-3</v>
      </c>
      <c r="U12">
        <v>0.57999999999999996</v>
      </c>
    </row>
    <row r="13" spans="1:21" x14ac:dyDescent="0.2">
      <c r="A13" s="3" t="s">
        <v>17</v>
      </c>
      <c r="B13" s="3">
        <v>0.2</v>
      </c>
      <c r="C13" s="3">
        <v>1.0529953999999999E-2</v>
      </c>
      <c r="D13" s="3">
        <v>0.70120890000000002</v>
      </c>
      <c r="F13">
        <v>0.2</v>
      </c>
      <c r="G13">
        <v>1.0999999999999999E-2</v>
      </c>
      <c r="H13">
        <v>0.70099999999999996</v>
      </c>
      <c r="N13" s="3" t="s">
        <v>17</v>
      </c>
      <c r="O13" s="3">
        <v>0.5</v>
      </c>
      <c r="P13" s="3">
        <v>9.4531206000000007E-2</v>
      </c>
      <c r="Q13" s="3">
        <v>0.90546879999999996</v>
      </c>
      <c r="S13">
        <v>0.5</v>
      </c>
      <c r="T13">
        <v>9.5000000000000001E-2</v>
      </c>
      <c r="U13">
        <v>0.90500000000000003</v>
      </c>
    </row>
    <row r="14" spans="1:21" x14ac:dyDescent="0.2">
      <c r="A14" s="3" t="s">
        <v>16</v>
      </c>
      <c r="B14" s="3">
        <v>0.15384614999999999</v>
      </c>
      <c r="C14" s="3">
        <v>2.7107071999999999E-2</v>
      </c>
      <c r="D14" s="3">
        <v>0.4633757</v>
      </c>
      <c r="E14">
        <f>AVERAGE(B12:B21)</f>
        <v>0.14543656400000002</v>
      </c>
      <c r="F14">
        <v>0.154</v>
      </c>
      <c r="G14">
        <v>2.7E-2</v>
      </c>
      <c r="H14">
        <v>0.46300000000000002</v>
      </c>
      <c r="N14" s="3" t="s">
        <v>16</v>
      </c>
      <c r="O14" s="3">
        <v>0.2</v>
      </c>
      <c r="P14" s="3">
        <v>3.5426944000000002E-2</v>
      </c>
      <c r="Q14" s="3">
        <v>0.55781860000000005</v>
      </c>
      <c r="S14">
        <v>0.2</v>
      </c>
      <c r="T14">
        <v>3.5000000000000003E-2</v>
      </c>
      <c r="U14">
        <v>0.55800000000000005</v>
      </c>
    </row>
    <row r="15" spans="1:21" x14ac:dyDescent="0.2">
      <c r="A15" s="3" t="s">
        <v>14</v>
      </c>
      <c r="B15" s="3">
        <v>0.12</v>
      </c>
      <c r="C15" s="3">
        <v>3.1515942999999998E-2</v>
      </c>
      <c r="D15" s="3">
        <v>0.32335779999999997</v>
      </c>
      <c r="F15">
        <v>0.12</v>
      </c>
      <c r="G15">
        <v>3.2000000000000001E-2</v>
      </c>
      <c r="H15">
        <v>0.32300000000000001</v>
      </c>
      <c r="N15" s="3" t="s">
        <v>14</v>
      </c>
      <c r="O15" s="3">
        <v>0.42857139999999999</v>
      </c>
      <c r="P15" s="3">
        <v>0.118083011</v>
      </c>
      <c r="Q15" s="3">
        <v>0.79762829999999996</v>
      </c>
      <c r="S15">
        <v>0.42899999999999999</v>
      </c>
      <c r="T15">
        <v>0.11799999999999999</v>
      </c>
      <c r="U15">
        <v>0.79800000000000004</v>
      </c>
    </row>
    <row r="16" spans="1:21" x14ac:dyDescent="0.2">
      <c r="A16" s="3" t="s">
        <v>20</v>
      </c>
      <c r="B16" s="3">
        <v>0.5</v>
      </c>
      <c r="C16" s="3">
        <v>0.15003898900000001</v>
      </c>
      <c r="D16" s="3">
        <v>0.84996099999999997</v>
      </c>
      <c r="F16">
        <v>0.5</v>
      </c>
      <c r="G16">
        <v>0.15</v>
      </c>
      <c r="H16">
        <v>0.85</v>
      </c>
      <c r="N16" s="3" t="s">
        <v>20</v>
      </c>
      <c r="O16" s="3">
        <v>1</v>
      </c>
      <c r="P16" s="3">
        <v>0.197867456</v>
      </c>
      <c r="Q16" s="3">
        <v>1</v>
      </c>
      <c r="S16">
        <v>1</v>
      </c>
      <c r="T16">
        <v>0.19800000000000001</v>
      </c>
      <c r="U16">
        <v>1</v>
      </c>
    </row>
    <row r="17" spans="1:21" x14ac:dyDescent="0.2">
      <c r="A17" s="3" t="s">
        <v>19</v>
      </c>
      <c r="B17" s="3">
        <v>0</v>
      </c>
      <c r="C17" s="3">
        <v>0</v>
      </c>
      <c r="D17" s="3">
        <v>0.48318290000000003</v>
      </c>
      <c r="F17">
        <v>0</v>
      </c>
      <c r="G17">
        <v>0</v>
      </c>
      <c r="H17">
        <v>0.48299999999999998</v>
      </c>
      <c r="N17" s="3" t="s">
        <v>19</v>
      </c>
      <c r="O17" s="3">
        <v>0</v>
      </c>
      <c r="P17" s="3">
        <v>0</v>
      </c>
      <c r="Q17" s="3">
        <v>0.94537919999999998</v>
      </c>
      <c r="S17">
        <v>0</v>
      </c>
      <c r="T17">
        <v>0</v>
      </c>
      <c r="U17">
        <v>0.94499999999999995</v>
      </c>
    </row>
    <row r="18" spans="1:21" x14ac:dyDescent="0.2">
      <c r="A18" s="3" t="s">
        <v>18</v>
      </c>
      <c r="B18" s="3">
        <v>0.31818182</v>
      </c>
      <c r="C18" s="3">
        <v>0.147343055</v>
      </c>
      <c r="D18" s="3">
        <v>0.54884270000000002</v>
      </c>
      <c r="F18">
        <v>0.318</v>
      </c>
      <c r="G18">
        <v>0.14699999999999999</v>
      </c>
      <c r="H18">
        <v>0.54900000000000004</v>
      </c>
      <c r="N18" s="3" t="s">
        <v>18</v>
      </c>
      <c r="O18" s="3">
        <v>0.875</v>
      </c>
      <c r="P18" s="3">
        <v>0.46678918600000002</v>
      </c>
      <c r="Q18" s="3">
        <v>0.99344010000000005</v>
      </c>
      <c r="S18">
        <v>0.875</v>
      </c>
      <c r="T18">
        <v>0.46700000000000003</v>
      </c>
      <c r="U18">
        <v>0.99299999999999999</v>
      </c>
    </row>
    <row r="19" spans="1:21" x14ac:dyDescent="0.2">
      <c r="A19" s="3" t="s">
        <v>22</v>
      </c>
      <c r="B19" s="3">
        <v>0</v>
      </c>
      <c r="C19" s="3">
        <v>0</v>
      </c>
      <c r="D19" s="3">
        <v>0.43906610000000001</v>
      </c>
      <c r="F19">
        <v>0</v>
      </c>
      <c r="G19">
        <v>0</v>
      </c>
      <c r="H19">
        <v>0.439</v>
      </c>
      <c r="N19" s="3" t="s">
        <v>22</v>
      </c>
      <c r="O19" s="3">
        <v>0</v>
      </c>
      <c r="P19" s="3">
        <v>0</v>
      </c>
      <c r="Q19" s="3">
        <v>0.80213250000000003</v>
      </c>
      <c r="S19">
        <v>0</v>
      </c>
      <c r="T19">
        <v>0</v>
      </c>
      <c r="U19">
        <v>0.80200000000000005</v>
      </c>
    </row>
    <row r="20" spans="1:21" x14ac:dyDescent="0.2">
      <c r="A20" s="3" t="s">
        <v>21</v>
      </c>
      <c r="B20" s="3">
        <v>4.5454550000000003E-2</v>
      </c>
      <c r="C20" s="3">
        <v>2.3773169999999999E-3</v>
      </c>
      <c r="D20" s="3">
        <v>0.24884300000000001</v>
      </c>
      <c r="F20">
        <v>4.4999999999999998E-2</v>
      </c>
      <c r="G20">
        <v>2E-3</v>
      </c>
      <c r="H20">
        <v>0.249</v>
      </c>
      <c r="N20" s="3" t="s">
        <v>21</v>
      </c>
      <c r="O20" s="3">
        <v>0.5</v>
      </c>
      <c r="P20" s="3">
        <v>9.4531206000000007E-2</v>
      </c>
      <c r="Q20" s="3">
        <v>0.90546879999999996</v>
      </c>
      <c r="S20">
        <v>0.5</v>
      </c>
      <c r="T20">
        <v>9.5000000000000001E-2</v>
      </c>
      <c r="U20">
        <v>0.90500000000000003</v>
      </c>
    </row>
    <row r="21" spans="1:21" x14ac:dyDescent="0.2">
      <c r="A21" s="3" t="s">
        <v>23</v>
      </c>
      <c r="B21" s="3">
        <v>4.5454550000000003E-2</v>
      </c>
      <c r="C21" s="3">
        <v>2.3773169999999999E-3</v>
      </c>
      <c r="D21" s="3">
        <v>0.24884300000000001</v>
      </c>
      <c r="F21">
        <v>4.4999999999999998E-2</v>
      </c>
      <c r="G21">
        <v>2E-3</v>
      </c>
      <c r="H21">
        <v>0.249</v>
      </c>
      <c r="N21" s="3" t="s">
        <v>23</v>
      </c>
      <c r="O21" s="3">
        <v>0.5</v>
      </c>
      <c r="P21" s="3">
        <v>9.4531206000000007E-2</v>
      </c>
      <c r="Q21" s="3">
        <v>0.90546879999999996</v>
      </c>
      <c r="S21">
        <v>0.5</v>
      </c>
      <c r="T21">
        <v>9.5000000000000001E-2</v>
      </c>
      <c r="U21">
        <v>0.90500000000000003</v>
      </c>
    </row>
    <row r="22" spans="1:21" x14ac:dyDescent="0.2">
      <c r="A22" s="3" t="s">
        <v>31</v>
      </c>
      <c r="B22" s="3">
        <v>0.21028036999999999</v>
      </c>
      <c r="C22" s="3">
        <v>0.17325659299999999</v>
      </c>
      <c r="D22" s="3">
        <v>0.25261349999999999</v>
      </c>
      <c r="F22">
        <v>0.21</v>
      </c>
      <c r="G22">
        <v>0.17299999999999999</v>
      </c>
      <c r="H22">
        <v>0.253</v>
      </c>
      <c r="N22" s="3" t="s">
        <v>31</v>
      </c>
      <c r="O22" s="3">
        <v>0.30100329999999997</v>
      </c>
      <c r="P22" s="3">
        <v>0.25023477999999999</v>
      </c>
      <c r="Q22" s="3">
        <v>0.35698150000000001</v>
      </c>
      <c r="S22">
        <v>0.30099999999999999</v>
      </c>
      <c r="T22">
        <v>0.25</v>
      </c>
      <c r="U22">
        <v>0.35699999999999998</v>
      </c>
    </row>
    <row r="23" spans="1:21" x14ac:dyDescent="0.2">
      <c r="A23" s="3" t="s">
        <v>32</v>
      </c>
      <c r="B23" s="3">
        <v>0.44444440000000002</v>
      </c>
      <c r="C23" s="3">
        <v>0.15343055999999999</v>
      </c>
      <c r="D23" s="3">
        <v>0.77347080000000001</v>
      </c>
      <c r="F23">
        <v>0.44400000000000001</v>
      </c>
      <c r="G23">
        <v>0.153</v>
      </c>
      <c r="H23">
        <v>0.77300000000000002</v>
      </c>
      <c r="N23" s="3" t="s">
        <v>32</v>
      </c>
      <c r="O23" s="3">
        <v>9.0909089999999998E-2</v>
      </c>
      <c r="P23" s="3">
        <v>2.952745E-2</v>
      </c>
      <c r="Q23" s="3">
        <v>0.22581670000000001</v>
      </c>
      <c r="S23">
        <v>9.0999999999999998E-2</v>
      </c>
      <c r="T23">
        <v>0.03</v>
      </c>
      <c r="U23">
        <v>0.22600000000000001</v>
      </c>
    </row>
    <row r="24" spans="1:21" x14ac:dyDescent="0.2">
      <c r="A24" s="3" t="s">
        <v>33</v>
      </c>
      <c r="B24" s="3">
        <v>0.5</v>
      </c>
      <c r="C24" s="3">
        <v>0.23659309000000001</v>
      </c>
      <c r="D24" s="3">
        <v>0.7634069</v>
      </c>
      <c r="F24">
        <v>0.5</v>
      </c>
      <c r="G24">
        <v>0.23699999999999999</v>
      </c>
      <c r="H24">
        <v>0.76300000000000001</v>
      </c>
      <c r="N24" s="3" t="s">
        <v>33</v>
      </c>
      <c r="O24" s="3">
        <v>9.2592590000000002E-2</v>
      </c>
      <c r="P24" s="3">
        <v>3.4592190000000002E-2</v>
      </c>
      <c r="Q24" s="3">
        <v>0.21060219999999999</v>
      </c>
      <c r="S24">
        <v>9.2999999999999999E-2</v>
      </c>
      <c r="T24">
        <v>3.5000000000000003E-2</v>
      </c>
      <c r="U24">
        <v>0.21099999999999999</v>
      </c>
    </row>
    <row r="25" spans="1:21" x14ac:dyDescent="0.2">
      <c r="A25" s="3" t="s">
        <v>34</v>
      </c>
      <c r="B25" s="3">
        <v>0.83333330000000005</v>
      </c>
      <c r="C25" s="3">
        <v>0.36482256000000002</v>
      </c>
      <c r="D25" s="3">
        <v>0.9912377</v>
      </c>
      <c r="F25">
        <v>0.83299999999999996</v>
      </c>
      <c r="G25">
        <v>0.36499999999999999</v>
      </c>
      <c r="H25">
        <v>0.99099999999999999</v>
      </c>
      <c r="N25" s="3" t="s">
        <v>34</v>
      </c>
      <c r="O25" s="3">
        <v>0.35714286000000001</v>
      </c>
      <c r="P25" s="3">
        <v>0.13978558999999999</v>
      </c>
      <c r="Q25" s="3">
        <v>0.64371599999999995</v>
      </c>
      <c r="S25">
        <v>0.35699999999999998</v>
      </c>
      <c r="T25">
        <v>0.14000000000000001</v>
      </c>
      <c r="U25">
        <v>0.64400000000000002</v>
      </c>
    </row>
    <row r="26" spans="1:21" x14ac:dyDescent="0.2">
      <c r="A26" s="3" t="s">
        <v>35</v>
      </c>
      <c r="B26" s="3">
        <v>0.75</v>
      </c>
      <c r="C26" s="3">
        <v>0.21942652000000001</v>
      </c>
      <c r="D26" s="3">
        <v>0.98680880000000004</v>
      </c>
      <c r="F26">
        <v>0.75</v>
      </c>
      <c r="G26">
        <v>0.219</v>
      </c>
      <c r="H26">
        <v>0.98699999999999999</v>
      </c>
      <c r="N26" s="3" t="s">
        <v>35</v>
      </c>
      <c r="O26" s="3">
        <v>0.14285713999999999</v>
      </c>
      <c r="P26" s="3">
        <v>3.7643040000000003E-2</v>
      </c>
      <c r="Q26" s="3">
        <v>0.37356640000000002</v>
      </c>
      <c r="S26">
        <v>0.14299999999999999</v>
      </c>
      <c r="T26">
        <v>3.7999999999999999E-2</v>
      </c>
      <c r="U26">
        <v>0.374</v>
      </c>
    </row>
    <row r="27" spans="1:21" x14ac:dyDescent="0.2">
      <c r="A27" s="3" t="s">
        <v>36</v>
      </c>
      <c r="B27" s="3">
        <v>0.25</v>
      </c>
      <c r="C27" s="3">
        <v>6.6935700000000001E-2</v>
      </c>
      <c r="D27" s="3">
        <v>0.57164389999999998</v>
      </c>
      <c r="F27">
        <v>0.25</v>
      </c>
      <c r="G27">
        <v>6.7000000000000004E-2</v>
      </c>
      <c r="H27">
        <v>0.57199999999999995</v>
      </c>
      <c r="N27" s="3" t="s">
        <v>36</v>
      </c>
      <c r="O27" s="3">
        <v>9.375E-2</v>
      </c>
      <c r="P27" s="3">
        <v>2.452973E-2</v>
      </c>
      <c r="Q27" s="3">
        <v>0.2616655</v>
      </c>
      <c r="S27">
        <v>9.4E-2</v>
      </c>
      <c r="T27">
        <v>2.5000000000000001E-2</v>
      </c>
      <c r="U27">
        <v>0.26200000000000001</v>
      </c>
    </row>
    <row r="28" spans="1:21" x14ac:dyDescent="0.2">
      <c r="A28" s="3" t="s">
        <v>37</v>
      </c>
      <c r="B28" s="3">
        <v>0.375</v>
      </c>
      <c r="C28" s="3">
        <v>0.102408</v>
      </c>
      <c r="D28" s="3">
        <v>0.7410523</v>
      </c>
      <c r="F28">
        <v>0.375</v>
      </c>
      <c r="G28">
        <v>0.10199999999999999</v>
      </c>
      <c r="H28">
        <v>0.74099999999999999</v>
      </c>
      <c r="N28" s="3" t="s">
        <v>37</v>
      </c>
      <c r="O28" s="3">
        <v>0.1</v>
      </c>
      <c r="P28" s="3">
        <v>2.6188289999999999E-2</v>
      </c>
      <c r="Q28" s="3">
        <v>0.27676319999999999</v>
      </c>
      <c r="S28">
        <v>0.1</v>
      </c>
      <c r="T28">
        <v>2.5999999999999999E-2</v>
      </c>
      <c r="U28">
        <v>0.27700000000000002</v>
      </c>
    </row>
    <row r="29" spans="1:21" x14ac:dyDescent="0.2">
      <c r="A29" s="3" t="s">
        <v>38</v>
      </c>
      <c r="B29" s="3">
        <v>0</v>
      </c>
      <c r="C29" s="3">
        <v>0</v>
      </c>
      <c r="D29" s="3">
        <v>0.34453719999999999</v>
      </c>
      <c r="F29">
        <v>0</v>
      </c>
      <c r="G29">
        <v>0</v>
      </c>
      <c r="H29">
        <v>0.34499999999999997</v>
      </c>
      <c r="N29" s="3" t="s">
        <v>38</v>
      </c>
      <c r="O29" s="3">
        <v>0</v>
      </c>
      <c r="P29" s="3">
        <v>0</v>
      </c>
      <c r="Q29" s="3">
        <v>0.1116688</v>
      </c>
      <c r="S29">
        <v>0</v>
      </c>
      <c r="T29">
        <v>0</v>
      </c>
      <c r="U29">
        <v>0.112</v>
      </c>
    </row>
    <row r="30" spans="1:21" x14ac:dyDescent="0.2">
      <c r="A30" s="3" t="s">
        <v>39</v>
      </c>
      <c r="B30" s="3">
        <v>0.3333333</v>
      </c>
      <c r="C30" s="3">
        <v>1.7652790000000002E-2</v>
      </c>
      <c r="D30" s="3">
        <v>0.87466549999999998</v>
      </c>
      <c r="F30">
        <v>0.33300000000000002</v>
      </c>
      <c r="G30">
        <v>1.7999999999999999E-2</v>
      </c>
      <c r="H30">
        <v>0.875</v>
      </c>
      <c r="N30" s="3" t="s">
        <v>39</v>
      </c>
      <c r="O30" s="3">
        <v>0.25</v>
      </c>
      <c r="P30" s="3">
        <v>1.319116E-2</v>
      </c>
      <c r="Q30" s="3">
        <v>0.78057350000000003</v>
      </c>
      <c r="S30">
        <v>0.25</v>
      </c>
      <c r="T30">
        <v>1.2999999999999999E-2</v>
      </c>
      <c r="U30">
        <v>0.78100000000000003</v>
      </c>
    </row>
    <row r="31" spans="1:21" x14ac:dyDescent="0.2">
      <c r="A31" s="3" t="s">
        <v>40</v>
      </c>
      <c r="B31" s="3">
        <v>0.28571429999999998</v>
      </c>
      <c r="C31" s="3">
        <v>5.1124309999999999E-2</v>
      </c>
      <c r="D31" s="3">
        <v>0.69743999999999995</v>
      </c>
      <c r="F31">
        <v>0.28599999999999998</v>
      </c>
      <c r="G31">
        <v>5.0999999999999997E-2</v>
      </c>
      <c r="H31">
        <v>0.69699999999999995</v>
      </c>
      <c r="N31" s="3" t="s">
        <v>40</v>
      </c>
      <c r="O31" s="3">
        <v>0.11111111</v>
      </c>
      <c r="P31" s="3">
        <v>1.948277E-2</v>
      </c>
      <c r="Q31" s="3">
        <v>0.36073179999999999</v>
      </c>
      <c r="S31">
        <v>0.111</v>
      </c>
      <c r="T31">
        <v>1.9E-2</v>
      </c>
      <c r="U31">
        <v>0.36099999999999999</v>
      </c>
    </row>
    <row r="32" spans="1:21" x14ac:dyDescent="0.2">
      <c r="A32" s="3" t="s">
        <v>31</v>
      </c>
      <c r="B32" s="3">
        <v>0.37681160000000002</v>
      </c>
      <c r="C32" s="3">
        <v>0.26538363999999998</v>
      </c>
      <c r="D32" s="3">
        <v>0.50203299999999995</v>
      </c>
      <c r="F32">
        <v>0.377</v>
      </c>
      <c r="G32">
        <v>0.26500000000000001</v>
      </c>
      <c r="H32">
        <v>0.502</v>
      </c>
      <c r="N32" s="3" t="s">
        <v>31</v>
      </c>
      <c r="O32" s="3">
        <v>0.1015625</v>
      </c>
      <c r="P32" s="3">
        <v>6.8637459999999997E-2</v>
      </c>
      <c r="Q32" s="3">
        <v>0.14687790000000001</v>
      </c>
      <c r="S32">
        <v>0.10199999999999999</v>
      </c>
      <c r="T32">
        <v>6.9000000000000006E-2</v>
      </c>
      <c r="U32">
        <v>0.14699999999999999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AF33-5FFC-A64F-80B7-89365A3BCB81}">
  <dimension ref="A1:H13"/>
  <sheetViews>
    <sheetView workbookViewId="0">
      <selection activeCell="E2" sqref="E2:G11"/>
    </sheetView>
  </sheetViews>
  <sheetFormatPr baseColWidth="10" defaultRowHeight="15" x14ac:dyDescent="0.2"/>
  <sheetData>
    <row r="1" spans="1:8" x14ac:dyDescent="0.2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</row>
    <row r="2" spans="1:8" x14ac:dyDescent="0.2">
      <c r="A2" s="3" t="s">
        <v>32</v>
      </c>
      <c r="B2" s="3">
        <v>0.44444440000000002</v>
      </c>
      <c r="C2" s="3">
        <v>0.15343055999999999</v>
      </c>
      <c r="D2" s="3">
        <v>0.77347080000000001</v>
      </c>
      <c r="E2" s="3">
        <v>9.0909089999999998E-2</v>
      </c>
      <c r="F2" s="3">
        <v>2.952745E-2</v>
      </c>
      <c r="G2" s="3">
        <v>0.22581670000000001</v>
      </c>
    </row>
    <row r="3" spans="1:8" x14ac:dyDescent="0.2">
      <c r="A3" s="3" t="s">
        <v>33</v>
      </c>
      <c r="B3" s="3">
        <v>0.5</v>
      </c>
      <c r="C3" s="3">
        <v>0.23659309000000001</v>
      </c>
      <c r="D3" s="3">
        <v>0.7634069</v>
      </c>
      <c r="E3" s="3">
        <v>9.2592590000000002E-2</v>
      </c>
      <c r="F3" s="3">
        <v>3.4592190000000002E-2</v>
      </c>
      <c r="G3" s="3">
        <v>0.21060219999999999</v>
      </c>
      <c r="H3" s="2"/>
    </row>
    <row r="4" spans="1:8" x14ac:dyDescent="0.2">
      <c r="A4" s="3" t="s">
        <v>34</v>
      </c>
      <c r="B4" s="3">
        <v>0.83333330000000005</v>
      </c>
      <c r="C4" s="3">
        <v>0.36482256000000002</v>
      </c>
      <c r="D4" s="3">
        <v>0.9912377</v>
      </c>
      <c r="E4" s="3">
        <v>0.35714286000000001</v>
      </c>
      <c r="F4" s="3">
        <v>0.13978558999999999</v>
      </c>
      <c r="G4" s="3">
        <v>0.64371599999999995</v>
      </c>
    </row>
    <row r="5" spans="1:8" x14ac:dyDescent="0.2">
      <c r="A5" s="3" t="s">
        <v>35</v>
      </c>
      <c r="B5" s="3">
        <v>0.75</v>
      </c>
      <c r="C5" s="3">
        <v>0.21942652000000001</v>
      </c>
      <c r="D5" s="3">
        <v>0.98680880000000004</v>
      </c>
      <c r="E5" s="3">
        <v>0.14285713999999999</v>
      </c>
      <c r="F5" s="3">
        <v>3.7643040000000003E-2</v>
      </c>
      <c r="G5" s="3">
        <v>0.37356640000000002</v>
      </c>
    </row>
    <row r="6" spans="1:8" x14ac:dyDescent="0.2">
      <c r="A6" s="3" t="s">
        <v>36</v>
      </c>
      <c r="B6" s="3">
        <v>0.25</v>
      </c>
      <c r="C6" s="3">
        <v>6.6935700000000001E-2</v>
      </c>
      <c r="D6" s="3">
        <v>0.57164389999999998</v>
      </c>
      <c r="E6" s="3">
        <v>9.375E-2</v>
      </c>
      <c r="F6" s="3">
        <v>2.452973E-2</v>
      </c>
      <c r="G6" s="3">
        <v>0.2616655</v>
      </c>
    </row>
    <row r="7" spans="1:8" x14ac:dyDescent="0.2">
      <c r="A7" s="3" t="s">
        <v>37</v>
      </c>
      <c r="B7" s="3">
        <v>0.375</v>
      </c>
      <c r="C7" s="3">
        <v>0.102408</v>
      </c>
      <c r="D7" s="3">
        <v>0.7410523</v>
      </c>
      <c r="E7" s="3">
        <v>0.1</v>
      </c>
      <c r="F7" s="3">
        <v>2.6188289999999999E-2</v>
      </c>
      <c r="G7" s="3">
        <v>0.27676319999999999</v>
      </c>
    </row>
    <row r="8" spans="1:8" x14ac:dyDescent="0.2">
      <c r="A8" s="3" t="s">
        <v>38</v>
      </c>
      <c r="B8" s="3">
        <v>0</v>
      </c>
      <c r="C8" s="3">
        <v>0</v>
      </c>
      <c r="D8" s="3">
        <v>0.34453719999999999</v>
      </c>
      <c r="E8" s="3">
        <v>0</v>
      </c>
      <c r="F8" s="3">
        <v>0</v>
      </c>
      <c r="G8" s="3">
        <v>0.1116688</v>
      </c>
    </row>
    <row r="9" spans="1:8" x14ac:dyDescent="0.2">
      <c r="A9" s="3" t="s">
        <v>39</v>
      </c>
      <c r="B9" s="3">
        <v>0.3333333</v>
      </c>
      <c r="C9" s="3">
        <v>1.7652790000000002E-2</v>
      </c>
      <c r="D9" s="3">
        <v>0.87466549999999998</v>
      </c>
      <c r="E9" s="3">
        <v>0.25</v>
      </c>
      <c r="F9" s="3">
        <v>1.319116E-2</v>
      </c>
      <c r="G9" s="3">
        <v>0.78057350000000003</v>
      </c>
    </row>
    <row r="10" spans="1:8" x14ac:dyDescent="0.2">
      <c r="A10" s="3" t="s">
        <v>40</v>
      </c>
      <c r="B10" s="3">
        <v>0.28571429999999998</v>
      </c>
      <c r="C10" s="3">
        <v>5.1124309999999999E-2</v>
      </c>
      <c r="D10" s="3">
        <v>0.69743999999999995</v>
      </c>
      <c r="E10" s="3">
        <v>0.11111111</v>
      </c>
      <c r="F10" s="3">
        <v>1.948277E-2</v>
      </c>
      <c r="G10" s="3">
        <v>0.36073179999999999</v>
      </c>
    </row>
    <row r="11" spans="1:8" x14ac:dyDescent="0.2">
      <c r="A11" s="3" t="s">
        <v>31</v>
      </c>
      <c r="B11" s="3">
        <v>0.37681160000000002</v>
      </c>
      <c r="C11" s="3">
        <v>0.26538363999999998</v>
      </c>
      <c r="D11" s="3">
        <v>0.50203299999999995</v>
      </c>
      <c r="E11" s="3">
        <v>0.1015625</v>
      </c>
      <c r="F11" s="3">
        <v>6.8637459999999997E-2</v>
      </c>
      <c r="G11" s="3">
        <v>0.14687790000000001</v>
      </c>
    </row>
    <row r="12" spans="1:8" x14ac:dyDescent="0.2">
      <c r="A12" s="2"/>
    </row>
    <row r="13" spans="1:8" x14ac:dyDescent="0.2">
      <c r="A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Consistency and Accuracy table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2024-02-29T17:23:35Z</dcterms:created>
  <dcterms:modified xsi:type="dcterms:W3CDTF">2024-02-29T21:23:54Z</dcterms:modified>
</cp:coreProperties>
</file>